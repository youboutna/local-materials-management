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10490530-32E5-4793-9702-603098993EB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vis" sheetId="1" r:id="rId1"/>
  </sheets>
  <definedNames>
    <definedName name="_Hlk151404717" localSheetId="0">Devis!#REF!</definedName>
    <definedName name="_Toc193985360" localSheetId="0">Devis!#REF!</definedName>
    <definedName name="TitreColonne1">#REF!</definedName>
    <definedName name="ZoneTitreColonne1..B11.1">Devis!$B$7</definedName>
    <definedName name="ZoneTitreColonne2..G14.1">Devis!#REF!</definedName>
    <definedName name="ZoneTitreLigne1..G4">Devis!$F$1</definedName>
    <definedName name="ZoneTitreLigne2..G7">Devis!#REF!</definedName>
    <definedName name="ZoneTitreLigne3..D12">Devis!#REF!</definedName>
    <definedName name="ZoneTitreLigne4..G26">Devis!#REF!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F43" i="1"/>
  <c r="F42" i="1"/>
  <c r="F41" i="1"/>
  <c r="F40" i="1"/>
  <c r="F39" i="1"/>
  <c r="F38" i="1"/>
  <c r="F37" i="1"/>
  <c r="F36" i="1"/>
  <c r="F35" i="1"/>
  <c r="F34" i="1"/>
  <c r="F33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3" i="1"/>
  <c r="F12" i="1"/>
  <c r="F11" i="1"/>
  <c r="G1" i="1"/>
  <c r="F14" i="1" l="1"/>
  <c r="F29" i="1"/>
  <c r="F44" i="1"/>
  <c r="F30" i="1" l="1"/>
  <c r="F45" i="1" s="1"/>
  <c r="F46" i="1" l="1"/>
  <c r="F47" i="1"/>
  <c r="F48" i="1" l="1"/>
</calcChain>
</file>

<file path=xl/sharedStrings.xml><?xml version="1.0" encoding="utf-8"?>
<sst xmlns="http://schemas.openxmlformats.org/spreadsheetml/2006/main" count="85" uniqueCount="60">
  <si>
    <t>DATE</t>
  </si>
  <si>
    <t>TAUX TVA</t>
  </si>
  <si>
    <t>Fin de validité :</t>
  </si>
  <si>
    <t xml:space="preserve">  </t>
  </si>
  <si>
    <t xml:space="preserve"> identifiant compte</t>
  </si>
  <si>
    <t>C-15042026</t>
  </si>
  <si>
    <t>compte bancaire :</t>
  </si>
  <si>
    <t xml:space="preserve">Code Bic : BPMAMRMRXXX  </t>
  </si>
  <si>
    <r>
      <rPr>
        <b/>
        <sz val="11"/>
        <rFont val="Arial"/>
        <family val="2"/>
        <scheme val="minor"/>
      </rPr>
      <t>Devis pour</t>
    </r>
    <r>
      <rPr>
        <sz val="11"/>
        <rFont val="Arial"/>
        <family val="2"/>
        <scheme val="minor"/>
      </rPr>
      <t xml:space="preserve"> : Ministère de l'Énergie et du Pétrole
Direction Générale du Pétrole et de l’Hydrogène Bas Carbone
Direction de l'Approvisionnement et de la Distribution des Produits
Nouakchott – République Islamique de Mauritanie</t>
    </r>
  </si>
  <si>
    <t>Poste / Désignation</t>
  </si>
  <si>
    <t>Unité</t>
  </si>
  <si>
    <t>Quantité</t>
  </si>
  <si>
    <t>Prix Unit. (MRU)</t>
  </si>
  <si>
    <t>Total (MRU)</t>
  </si>
  <si>
    <t>Architecte Senior / Chef de projet</t>
  </si>
  <si>
    <t>Jour/Homme</t>
  </si>
  <si>
    <t>Expert fonctionnel (analyse des besoins)</t>
  </si>
  <si>
    <t>Assistant chef de projet / coordinateur</t>
  </si>
  <si>
    <t>Sous-total Phase 1</t>
  </si>
  <si>
    <t>Développeur Full-Stack senior</t>
  </si>
  <si>
    <t>Développeur Full-Stack junior</t>
  </si>
  <si>
    <t>Spécialiste base de données / SIG</t>
  </si>
  <si>
    <t>Intégrateur / DevOps</t>
  </si>
  <si>
    <t xml:space="preserve">Licence logiciel HadraTech-SPF à vie </t>
  </si>
  <si>
    <t>Forfait</t>
  </si>
  <si>
    <t>Licences utilisateurs (4000 postes nominaux)</t>
  </si>
  <si>
    <t>Déplacements &amp; Missions (phase pilote – 3 zones)</t>
  </si>
  <si>
    <t>Formation &amp; transfert de compétences (15 jours)</t>
  </si>
  <si>
    <t>Maintenance logiciel 1 an + support technique</t>
  </si>
  <si>
    <t>Hébergement cloud / serveurs (test + préprod)</t>
  </si>
  <si>
    <t>Audit sécurité / tests d’intrusion</t>
  </si>
  <si>
    <t>Recette &amp; validation utilisateurs (pilotes)</t>
  </si>
  <si>
    <r>
      <t>Sous-total Phase 2</t>
    </r>
    <r>
      <rPr>
        <sz val="11"/>
        <color rgb="FF000000"/>
        <rFont val="Calibri"/>
        <family val="2"/>
      </rPr>
      <t> </t>
    </r>
  </si>
  <si>
    <t>TOTAL LOT 1(PHASE 1 + PHASE 2 (HT) )</t>
  </si>
  <si>
    <t>LOT 2 (PHASE 3) : RECENSEMENT NATIONAL ET INTÉGRATION DES DONNÉES</t>
  </si>
  <si>
    <t>Chef de projet / Coordinateur terrain</t>
  </si>
  <si>
    <t>Agents recenseurs / Techniciens SIG (équipe de 4)</t>
  </si>
  <si>
    <t>Superviseur terrain</t>
  </si>
  <si>
    <t>Location véhicule TT 4x4 (1 véhicule)</t>
  </si>
  <si>
    <t>Jour</t>
  </si>
  <si>
    <t>Frais de mission (hébergement &amp; per diem)</t>
  </si>
  <si>
    <t>GPS référentiel (achat)</t>
  </si>
  <si>
    <t>Ordinateur portable (achat)</t>
  </si>
  <si>
    <t>Carburant et entretien véhicule</t>
  </si>
  <si>
    <t>Traitement et validation des données</t>
  </si>
  <si>
    <t>Fournitures consommables terrain</t>
  </si>
  <si>
    <t>Réserve technique (3%)</t>
  </si>
  <si>
    <t>Sous-total LOT 2 (Phase 3 (HT))</t>
  </si>
  <si>
    <t>SOUS-TOTAL GÉNÉRAL HT</t>
  </si>
  <si>
    <t>TVA (16%)</t>
  </si>
  <si>
    <t>Frais Généraux (4% du HT)</t>
  </si>
  <si>
    <t>TOTAL TTC</t>
  </si>
  <si>
    <t>LOT 1 -PHASE 1 : CADRAGE ET ANALYSE</t>
  </si>
  <si>
    <t>LOT1-PHASE 2 : DÉVELOPPEMENT ITÉRATIF PERSONNALISATION +DONNEES ZONE PILOTE</t>
  </si>
  <si>
    <t>N°-devis</t>
  </si>
  <si>
    <t xml:space="preserve"> ref:  : SPF-PROP-MEP-2026</t>
  </si>
  <si>
    <t>Prestation en deux lots ( lot1 développement et zone pilote, lot2 récemment général et intégration des données, Ateliers de formation et sensibilisations)</t>
  </si>
  <si>
    <t>IBAN  : MR0000018000082100050750125</t>
  </si>
  <si>
    <t xml:space="preserve"> identifiant : 1000075 </t>
  </si>
  <si>
    <t>SOCIETE HADRATCH SUARL
Développement Commercial
www.hadratech.com
📞 [+222 00 00 00 00] | ✉️ contact0@hadratech,com | 🔗 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</si>
</sst>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0#&quot; &quot;##&quot; &quot;##&quot; &quot;##&quot; &quot;##"/>
    <numFmt numFmtId="166" formatCode="_-* #,##0.00\ _€_-;\-* #,##0.00\ _€_-;_-* &quot;-&quot;??\ _€_-;_-@_-"/>
    <numFmt numFmtId="167" formatCode="#,##0.00\ [$MRU]"/>
  </numFmts>
  <fonts count="28" x14ac:knownFonts="1"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28"/>
      <color theme="1" tint="0.499984740745262"/>
      <name val="Arial"/>
      <family val="2"/>
      <scheme val="major"/>
    </font>
    <font>
      <sz val="11"/>
      <name val="Arial"/>
      <family val="2"/>
      <scheme val="minor"/>
    </font>
    <font>
      <b/>
      <sz val="18"/>
      <color theme="1" tint="0.24994659260841701"/>
      <name val="Arial"/>
      <family val="2"/>
      <scheme val="minor"/>
    </font>
    <font>
      <b/>
      <sz val="11"/>
      <name val="Arial"/>
      <family val="2"/>
      <scheme val="minor"/>
    </font>
    <font>
      <i/>
      <sz val="11"/>
      <name val="Arial"/>
      <family val="2"/>
      <scheme val="minor"/>
    </font>
    <font>
      <sz val="10"/>
      <name val="Arial"/>
      <family val="2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theme="0"/>
      <name val="Arial"/>
      <family val="2"/>
      <scheme val="minor"/>
    </font>
    <font>
      <i/>
      <sz val="14"/>
      <name val="Arial"/>
      <family val="2"/>
      <scheme val="minor"/>
    </font>
    <font>
      <sz val="14"/>
      <name val="Arial"/>
      <family val="2"/>
      <scheme val="minor"/>
    </font>
    <font>
      <b/>
      <sz val="14"/>
      <name val="Arial"/>
      <family val="2"/>
      <scheme val="minor"/>
    </font>
    <font>
      <sz val="14"/>
      <name val="Microsoft Sans Serif"/>
      <family val="2"/>
    </font>
    <font>
      <sz val="14"/>
      <name val="Calibri"/>
      <family val="2"/>
    </font>
    <font>
      <sz val="16"/>
      <name val="Cambria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C00000"/>
      <name val="Calibri"/>
      <family val="2"/>
    </font>
    <font>
      <b/>
      <sz val="11"/>
      <color theme="1" tint="0.2499465926084170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>
      <alignment horizontal="left" vertical="center" wrapText="1"/>
    </xf>
    <xf numFmtId="3" fontId="4" fillId="0" borderId="0" applyFont="0" applyFill="0" applyBorder="0">
      <alignment horizontal="center" vertical="center"/>
    </xf>
    <xf numFmtId="44" fontId="8" fillId="0" borderId="0" applyFont="0" applyFill="0" applyBorder="0" applyProtection="0">
      <alignment horizontal="right" vertical="center"/>
    </xf>
    <xf numFmtId="10" fontId="8" fillId="0" borderId="0" applyFont="0" applyFill="0" applyBorder="0" applyProtection="0">
      <alignment horizontal="right" vertical="center"/>
    </xf>
    <xf numFmtId="0" fontId="3" fillId="0" borderId="0">
      <alignment horizontal="right"/>
    </xf>
    <xf numFmtId="0" fontId="5" fillId="0" borderId="0"/>
    <xf numFmtId="0" fontId="7" fillId="0" borderId="0">
      <alignment horizontal="right"/>
    </xf>
    <xf numFmtId="0" fontId="6" fillId="0" borderId="0">
      <alignment vertical="top"/>
    </xf>
    <xf numFmtId="0" fontId="6" fillId="0" borderId="0">
      <alignment horizontal="right" vertical="center"/>
    </xf>
    <xf numFmtId="0" fontId="4" fillId="0" borderId="1">
      <alignment horizontal="center" vertical="center" wrapText="1"/>
    </xf>
    <xf numFmtId="0" fontId="6" fillId="0" borderId="0">
      <alignment horizontal="center" wrapText="1"/>
    </xf>
    <xf numFmtId="0" fontId="7" fillId="0" borderId="0">
      <alignment horizontal="left" vertical="top" wrapText="1"/>
    </xf>
    <xf numFmtId="0" fontId="4" fillId="0" borderId="0">
      <alignment horizontal="right" vertical="center" indent="1"/>
    </xf>
    <xf numFmtId="165" fontId="4" fillId="0" borderId="0" applyFont="0" applyFill="0" applyBorder="0">
      <alignment horizontal="left" vertical="top"/>
    </xf>
    <xf numFmtId="0" fontId="6" fillId="0" borderId="0">
      <alignment horizontal="right"/>
    </xf>
    <xf numFmtId="0" fontId="4" fillId="2" borderId="1">
      <alignment horizontal="center" vertical="center"/>
    </xf>
    <xf numFmtId="49" fontId="4" fillId="0" borderId="0" applyFont="0" applyFill="0" applyBorder="0">
      <alignment horizontal="center" vertical="center" wrapText="1"/>
    </xf>
    <xf numFmtId="0" fontId="4" fillId="0" borderId="2" applyNumberFormat="0" applyFont="0" applyFill="0" applyAlignment="0">
      <alignment horizontal="left" vertical="center" wrapText="1"/>
    </xf>
    <xf numFmtId="14" fontId="4" fillId="0" borderId="0" applyFont="0" applyFill="0" applyBorder="0">
      <alignment horizontal="center" vertical="center"/>
    </xf>
    <xf numFmtId="0" fontId="4" fillId="0" borderId="0">
      <alignment horizontal="left" vertical="center" wrapText="1"/>
    </xf>
    <xf numFmtId="0" fontId="4" fillId="0" borderId="0">
      <alignment horizontal="left" vertical="center" wrapText="1"/>
    </xf>
    <xf numFmtId="14" fontId="4" fillId="0" borderId="0">
      <alignment horizontal="left"/>
    </xf>
    <xf numFmtId="0" fontId="4" fillId="0" borderId="0" applyNumberFormat="0" applyFont="0" applyFill="0" applyBorder="0">
      <alignment horizontal="left" wrapText="1"/>
    </xf>
    <xf numFmtId="16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3" applyNumberFormat="0" applyAlignment="0" applyProtection="0"/>
    <xf numFmtId="0" fontId="13" fillId="6" borderId="4" applyNumberFormat="0" applyAlignment="0" applyProtection="0"/>
    <xf numFmtId="0" fontId="14" fillId="0" borderId="5" applyNumberFormat="0" applyFill="0" applyAlignment="0" applyProtection="0"/>
    <xf numFmtId="0" fontId="15" fillId="7" borderId="6" applyNumberFormat="0" applyAlignment="0" applyProtection="0"/>
    <xf numFmtId="0" fontId="16" fillId="0" borderId="0" applyNumberFormat="0" applyFill="0" applyBorder="0" applyAlignment="0" applyProtection="0"/>
    <xf numFmtId="0" fontId="17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54">
    <xf numFmtId="0" fontId="0" fillId="0" borderId="0" xfId="0">
      <alignment horizontal="left" vertical="center" wrapText="1"/>
    </xf>
    <xf numFmtId="166" fontId="0" fillId="0" borderId="0" xfId="0" applyNumberFormat="1" applyAlignment="1">
      <alignment horizontal="left" vertical="center"/>
    </xf>
    <xf numFmtId="166" fontId="6" fillId="0" borderId="0" xfId="10" applyNumberFormat="1">
      <alignment horizontal="center" wrapText="1"/>
    </xf>
    <xf numFmtId="0" fontId="19" fillId="0" borderId="0" xfId="0" applyFont="1">
      <alignment horizontal="left" vertical="center" wrapText="1"/>
    </xf>
    <xf numFmtId="0" fontId="20" fillId="0" borderId="0" xfId="14" applyFont="1">
      <alignment horizontal="right"/>
    </xf>
    <xf numFmtId="14" fontId="19" fillId="0" borderId="0" xfId="21" applyFont="1">
      <alignment horizontal="left"/>
    </xf>
    <xf numFmtId="0" fontId="20" fillId="0" borderId="0" xfId="8" applyFont="1">
      <alignment horizontal="right" vertical="center"/>
    </xf>
    <xf numFmtId="0" fontId="21" fillId="0" borderId="0" xfId="0" applyFont="1">
      <alignment horizontal="left" vertical="center" wrapText="1"/>
    </xf>
    <xf numFmtId="0" fontId="22" fillId="0" borderId="0" xfId="0" applyFont="1">
      <alignment horizontal="left" vertical="center" wrapText="1"/>
    </xf>
    <xf numFmtId="166" fontId="19" fillId="0" borderId="0" xfId="0" applyNumberFormat="1" applyFont="1" applyAlignment="1">
      <alignment horizontal="left" vertical="center"/>
    </xf>
    <xf numFmtId="166" fontId="20" fillId="0" borderId="0" xfId="10" applyNumberFormat="1" applyFont="1">
      <alignment horizontal="center" wrapText="1"/>
    </xf>
    <xf numFmtId="0" fontId="0" fillId="0" borderId="0" xfId="0" applyAlignment="1">
      <alignment vertical="center" wrapText="1"/>
    </xf>
    <xf numFmtId="0" fontId="23" fillId="0" borderId="0" xfId="0" applyFont="1">
      <alignment horizontal="left" vertical="center" wrapText="1"/>
    </xf>
    <xf numFmtId="0" fontId="4" fillId="0" borderId="0" xfId="7" applyFont="1" applyAlignment="1">
      <alignment vertical="top" wrapText="1"/>
    </xf>
    <xf numFmtId="0" fontId="24" fillId="0" borderId="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9" xfId="0" applyFont="1" applyBorder="1" applyAlignment="1">
      <alignment vertical="center" wrapText="1"/>
    </xf>
    <xf numFmtId="0" fontId="25" fillId="0" borderId="10" xfId="0" applyFont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167" fontId="25" fillId="0" borderId="10" xfId="0" applyNumberFormat="1" applyFont="1" applyBorder="1" applyAlignment="1">
      <alignment horizontal="right" vertical="center" wrapText="1"/>
    </xf>
    <xf numFmtId="167" fontId="26" fillId="32" borderId="10" xfId="0" applyNumberFormat="1" applyFont="1" applyFill="1" applyBorder="1" applyAlignment="1">
      <alignment horizontal="right" vertical="center" wrapText="1"/>
    </xf>
    <xf numFmtId="167" fontId="25" fillId="32" borderId="10" xfId="0" applyNumberFormat="1" applyFont="1" applyFill="1" applyBorder="1" applyAlignment="1">
      <alignment horizontal="right" vertical="center" wrapText="1"/>
    </xf>
    <xf numFmtId="0" fontId="24" fillId="0" borderId="13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5" xfId="0" applyFont="1" applyBorder="1" applyAlignment="1">
      <alignment vertical="center" wrapText="1"/>
    </xf>
    <xf numFmtId="167" fontId="26" fillId="0" borderId="10" xfId="0" applyNumberFormat="1" applyFont="1" applyBorder="1" applyAlignment="1">
      <alignment horizontal="right" vertical="center" wrapText="1"/>
    </xf>
    <xf numFmtId="14" fontId="19" fillId="0" borderId="0" xfId="0" applyNumberFormat="1" applyFont="1">
      <alignment horizontal="left" vertical="center" wrapText="1"/>
    </xf>
    <xf numFmtId="0" fontId="18" fillId="0" borderId="0" xfId="11" applyFont="1">
      <alignment horizontal="left" vertical="top" wrapText="1"/>
    </xf>
    <xf numFmtId="0" fontId="19" fillId="0" borderId="0" xfId="0" applyFont="1">
      <alignment horizontal="left" vertical="center" wrapText="1"/>
    </xf>
    <xf numFmtId="0" fontId="0" fillId="0" borderId="0" xfId="7" applyFont="1" applyAlignment="1">
      <alignment vertical="top" wrapText="1"/>
    </xf>
    <xf numFmtId="0" fontId="4" fillId="0" borderId="0" xfId="7" applyFont="1" applyAlignment="1">
      <alignment vertical="top" wrapText="1"/>
    </xf>
    <xf numFmtId="0" fontId="0" fillId="0" borderId="18" xfId="7" applyFont="1" applyBorder="1" applyAlignment="1">
      <alignment vertical="top" wrapText="1"/>
    </xf>
    <xf numFmtId="0" fontId="4" fillId="0" borderId="19" xfId="7" applyFont="1" applyBorder="1" applyAlignment="1">
      <alignment vertical="top" wrapText="1"/>
    </xf>
    <xf numFmtId="0" fontId="0" fillId="0" borderId="16" xfId="7" applyFont="1" applyBorder="1" applyAlignment="1">
      <alignment vertical="top" wrapText="1"/>
    </xf>
    <xf numFmtId="0" fontId="4" fillId="0" borderId="17" xfId="7" applyFont="1" applyBorder="1" applyAlignment="1">
      <alignment vertical="top" wrapText="1"/>
    </xf>
    <xf numFmtId="0" fontId="4" fillId="0" borderId="10" xfId="7" applyFont="1" applyBorder="1" applyAlignment="1">
      <alignment vertical="top" wrapText="1"/>
    </xf>
    <xf numFmtId="0" fontId="27" fillId="0" borderId="20" xfId="5" applyFont="1" applyBorder="1" applyAlignment="1">
      <alignment horizontal="center" wrapText="1"/>
    </xf>
    <xf numFmtId="0" fontId="24" fillId="0" borderId="11" xfId="0" applyFont="1" applyBorder="1" applyAlignment="1">
      <alignment vertical="center" wrapText="1"/>
    </xf>
    <xf numFmtId="0" fontId="24" fillId="0" borderId="12" xfId="0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0" fillId="0" borderId="0" xfId="7" applyFont="1" applyAlignment="1">
      <alignment horizontal="left" vertical="top" indent="1"/>
    </xf>
    <xf numFmtId="0" fontId="4" fillId="0" borderId="13" xfId="7" applyFont="1" applyBorder="1" applyAlignment="1">
      <alignment vertical="top" wrapText="1"/>
    </xf>
    <xf numFmtId="0" fontId="4" fillId="0" borderId="14" xfId="7" applyFont="1" applyBorder="1" applyAlignment="1">
      <alignment vertical="top" wrapText="1"/>
    </xf>
    <xf numFmtId="0" fontId="4" fillId="0" borderId="15" xfId="7" applyFont="1" applyBorder="1" applyAlignment="1">
      <alignment vertical="top" wrapText="1"/>
    </xf>
    <xf numFmtId="0" fontId="4" fillId="0" borderId="18" xfId="7" applyFont="1" applyBorder="1" applyAlignment="1">
      <alignment vertical="top" wrapText="1"/>
    </xf>
    <xf numFmtId="0" fontId="24" fillId="0" borderId="11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13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5" xfId="0" applyFont="1" applyBorder="1" applyAlignment="1">
      <alignment vertical="center" wrapText="1"/>
    </xf>
    <xf numFmtId="0" fontId="24" fillId="0" borderId="16" xfId="0" applyFont="1" applyBorder="1" applyAlignment="1">
      <alignment vertical="center" wrapText="1"/>
    </xf>
    <xf numFmtId="0" fontId="24" fillId="0" borderId="17" xfId="0" applyFont="1" applyBorder="1" applyAlignment="1">
      <alignment vertical="center" wrapText="1"/>
    </xf>
    <xf numFmtId="0" fontId="24" fillId="0" borderId="10" xfId="0" applyFont="1" applyBorder="1" applyAlignment="1">
      <alignment vertical="center" wrapText="1"/>
    </xf>
  </cellXfs>
  <cellStyles count="57">
    <cellStyle name="20 % - Accent1" xfId="34" builtinId="30" customBuiltin="1"/>
    <cellStyle name="20 % - Accent2" xfId="38" builtinId="34" customBuiltin="1"/>
    <cellStyle name="20 % - Accent3" xfId="42" builtinId="38" customBuiltin="1"/>
    <cellStyle name="20 % - Accent4" xfId="46" builtinId="42" customBuiltin="1"/>
    <cellStyle name="20 % - Accent5" xfId="50" builtinId="46" customBuiltin="1"/>
    <cellStyle name="20 % - Accent6" xfId="54" builtinId="50" customBuiltin="1"/>
    <cellStyle name="40 % - Accent1" xfId="35" builtinId="31" customBuiltin="1"/>
    <cellStyle name="40 % - Accent2" xfId="39" builtinId="35" customBuiltin="1"/>
    <cellStyle name="40 % - Accent3" xfId="43" builtinId="39" customBuiltin="1"/>
    <cellStyle name="40 % - Accent4" xfId="47" builtinId="43" customBuiltin="1"/>
    <cellStyle name="40 % - Accent5" xfId="51" builtinId="47" customBuiltin="1"/>
    <cellStyle name="40 % - Accent6" xfId="55" builtinId="51" customBuiltin="1"/>
    <cellStyle name="60 % - Accent1" xfId="36" builtinId="32" customBuiltin="1"/>
    <cellStyle name="60 % - Accent2" xfId="40" builtinId="36" customBuiltin="1"/>
    <cellStyle name="60 % - Accent3" xfId="44" builtinId="40" customBuiltin="1"/>
    <cellStyle name="60 % - Accent4" xfId="48" builtinId="44" customBuiltin="1"/>
    <cellStyle name="60 % - Accent5" xfId="52" builtinId="48" customBuiltin="1"/>
    <cellStyle name="60 % - Accent6" xfId="56" builtinId="52" customBuiltin="1"/>
    <cellStyle name="Accent1" xfId="33" builtinId="29" customBuiltin="1"/>
    <cellStyle name="Accent2" xfId="37" builtinId="33" customBuiltin="1"/>
    <cellStyle name="Accent3" xfId="41" builtinId="37" customBuiltin="1"/>
    <cellStyle name="Accent4" xfId="45" builtinId="41" customBuiltin="1"/>
    <cellStyle name="Accent5" xfId="49" builtinId="45" customBuiltin="1"/>
    <cellStyle name="Accent6" xfId="53" builtinId="49" customBuiltin="1"/>
    <cellStyle name="Avertissement" xfId="32" builtinId="11" customBuiltin="1"/>
    <cellStyle name="Calcul" xfId="29" builtinId="22" customBuiltin="1"/>
    <cellStyle name="Cellule liée" xfId="30" builtinId="24" customBuiltin="1"/>
    <cellStyle name="Champ personnalisé" xfId="17" xr:uid="{00000000-0005-0000-0000-000002000000}"/>
    <cellStyle name="Date" xfId="21" xr:uid="{00000000-0005-0000-0000-000003000000}"/>
    <cellStyle name="Date d’expédition" xfId="18" xr:uid="{00000000-0005-0000-0000-000012000000}"/>
    <cellStyle name="Détails de l’expédition" xfId="15" xr:uid="{00000000-0005-0000-0000-000013000000}"/>
    <cellStyle name="Entrée" xfId="9" builtinId="20" customBuiltin="1"/>
    <cellStyle name="Étiquette de date" xfId="14" xr:uid="{00000000-0005-0000-0000-000004000000}"/>
    <cellStyle name="Insatisfaisant" xfId="26" builtinId="27" customBuiltin="1"/>
    <cellStyle name="Lien hypertexte" xfId="19" builtinId="8" customBuiltin="1"/>
    <cellStyle name="Lien hypertexte visité" xfId="20" builtinId="9" customBuiltin="1"/>
    <cellStyle name="Milliers" xfId="1" builtinId="3" customBuiltin="1"/>
    <cellStyle name="Milliers [0]" xfId="23" builtinId="6" customBuiltin="1"/>
    <cellStyle name="Monétaire" xfId="2" builtinId="4" customBuiltin="1"/>
    <cellStyle name="Monétaire [0]" xfId="24" builtinId="7" customBuiltin="1"/>
    <cellStyle name="Neutre" xfId="27" builtinId="28" customBuiltin="1"/>
    <cellStyle name="Nom" xfId="22" xr:uid="{00000000-0005-0000-0000-00000D000000}"/>
    <cellStyle name="Normal" xfId="0" builtinId="0" customBuiltin="1"/>
    <cellStyle name="Note" xfId="10" builtinId="10" customBuiltin="1"/>
    <cellStyle name="Pourcentage" xfId="3" builtinId="5" customBuiltin="1"/>
    <cellStyle name="Satisfaisant" xfId="25" builtinId="26" customBuiltin="1"/>
    <cellStyle name="Sortie" xfId="28" builtinId="21" customBuiltin="1"/>
    <cellStyle name="Soumis à la TVA ?" xfId="16" xr:uid="{00000000-0005-0000-0000-000014000000}"/>
    <cellStyle name="Téléphone" xfId="13" xr:uid="{00000000-0005-0000-0000-000011000000}"/>
    <cellStyle name="Texte explicatif" xfId="11" builtinId="53" customBuiltin="1"/>
    <cellStyle name="Titre" xfId="4" builtinId="15" customBuiltin="1"/>
    <cellStyle name="Titre 1" xfId="5" builtinId="16" customBuiltin="1"/>
    <cellStyle name="Titre 2" xfId="6" builtinId="17" customBuiltin="1"/>
    <cellStyle name="Titre 3" xfId="7" builtinId="18" customBuiltin="1"/>
    <cellStyle name="Titre 4" xfId="8" builtinId="19" customBuiltin="1"/>
    <cellStyle name="Total" xfId="12" builtinId="25" customBuiltin="1"/>
    <cellStyle name="Vérification" xfId="31" builtinId="23" customBuiltin="1"/>
  </cellStyles>
  <dxfs count="5">
    <dxf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diagonalUp="0" diagonalDown="0">
        <left/>
        <right/>
        <top style="thin">
          <color theme="0" tint="-0.34998626667073579"/>
        </top>
        <bottom/>
        <vertical/>
        <horizontal/>
      </border>
    </dxf>
    <dxf>
      <font>
        <b/>
        <i val="0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PivotStyle="PivotStyleLight16">
    <tableStyle name="Devis avec calcul de la TVA" pivot="0" count="5" xr9:uid="{00000000-0011-0000-FFFF-FFFF00000000}">
      <tableStyleElement type="wholeTable" dxfId="4"/>
      <tableStyleElement type="headerRow" dxfId="3"/>
      <tableStyleElement type="totalRow" dxfId="2"/>
      <tableStyleElement type="lastColumn" dxfId="1"/>
      <tableStyleElement type="lastTotal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2286000</xdr:colOff>
      <xdr:row>5</xdr:row>
      <xdr:rowOff>434340</xdr:rowOff>
    </xdr:from>
    <xdr:ext cx="184731" cy="254557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E2FB8FE0-BF20-F280-C281-CAF232696657}"/>
            </a:ext>
          </a:extLst>
        </xdr:cNvPr>
        <xdr:cNvSpPr txBox="1"/>
      </xdr:nvSpPr>
      <xdr:spPr>
        <a:xfrm>
          <a:off x="3314700" y="434340"/>
          <a:ext cx="184731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fr-FR" sz="1100"/>
        </a:p>
      </xdr:txBody>
    </xdr:sp>
    <xdr:clientData/>
  </xdr:oneCellAnchor>
  <xdr:twoCellAnchor editAs="oneCell">
    <xdr:from>
      <xdr:col>0</xdr:col>
      <xdr:colOff>594360</xdr:colOff>
      <xdr:row>0</xdr:row>
      <xdr:rowOff>184785</xdr:rowOff>
    </xdr:from>
    <xdr:to>
      <xdr:col>5</xdr:col>
      <xdr:colOff>990601</xdr:colOff>
      <xdr:row>4</xdr:row>
      <xdr:rowOff>552769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E6CE582C-66BD-4EC1-D4A0-AF742BB30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60" y="184785"/>
          <a:ext cx="5318761" cy="132810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  <pageSetUpPr fitToPage="1"/>
  </sheetPr>
  <dimension ref="A1:I76"/>
  <sheetViews>
    <sheetView showGridLines="0" tabSelected="1" zoomScaleNormal="100" workbookViewId="0">
      <selection activeCell="G52" sqref="G52"/>
    </sheetView>
  </sheetViews>
  <sheetFormatPr baseColWidth="10" defaultColWidth="9" defaultRowHeight="30" customHeight="1" x14ac:dyDescent="0.25"/>
  <cols>
    <col min="1" max="1" width="11.3984375" customWidth="1"/>
    <col min="2" max="2" width="16.796875" customWidth="1"/>
    <col min="3" max="3" width="11.69921875" customWidth="1"/>
    <col min="4" max="4" width="10.296875" customWidth="1"/>
    <col min="5" max="5" width="14.3984375" customWidth="1"/>
    <col min="6" max="6" width="24.296875" customWidth="1"/>
    <col min="7" max="7" width="20.5" customWidth="1"/>
    <col min="8" max="8" width="2.59765625" customWidth="1"/>
    <col min="11" max="11" width="10.3984375" bestFit="1" customWidth="1"/>
  </cols>
  <sheetData>
    <row r="1" spans="1:9" ht="30.9" customHeight="1" x14ac:dyDescent="0.3">
      <c r="A1" s="3"/>
      <c r="B1" s="27" t="s">
        <v>3</v>
      </c>
      <c r="C1" s="27"/>
      <c r="D1" s="27"/>
      <c r="E1" s="27"/>
      <c r="F1" s="4" t="s">
        <v>0</v>
      </c>
      <c r="G1" s="5">
        <f ca="1">TODAY()</f>
        <v>46252</v>
      </c>
    </row>
    <row r="2" spans="1:9" ht="15" customHeight="1" x14ac:dyDescent="0.25">
      <c r="A2" s="3"/>
      <c r="B2" s="28"/>
      <c r="C2" s="28"/>
      <c r="D2" s="28"/>
      <c r="E2" s="28"/>
      <c r="F2" s="6" t="s">
        <v>54</v>
      </c>
      <c r="G2" s="3" t="s">
        <v>5</v>
      </c>
    </row>
    <row r="3" spans="1:9" ht="15" customHeight="1" x14ac:dyDescent="0.25">
      <c r="A3" s="3"/>
      <c r="B3" s="28"/>
      <c r="C3" s="28"/>
      <c r="D3" s="28"/>
      <c r="E3" s="28"/>
      <c r="G3" s="3" t="s">
        <v>2</v>
      </c>
    </row>
    <row r="4" spans="1:9" ht="15" customHeight="1" x14ac:dyDescent="0.25">
      <c r="A4" s="3"/>
      <c r="B4" s="28"/>
      <c r="C4" s="28"/>
      <c r="D4" s="28"/>
      <c r="E4" s="28"/>
      <c r="F4" s="6"/>
      <c r="G4" s="3"/>
    </row>
    <row r="5" spans="1:9" ht="51" customHeight="1" x14ac:dyDescent="0.25">
      <c r="A5" s="3"/>
      <c r="B5" s="3"/>
      <c r="C5" s="3"/>
      <c r="D5" s="3"/>
      <c r="E5" s="3"/>
      <c r="F5" s="6"/>
      <c r="G5" s="26">
        <f ca="1">TODAY()+90</f>
        <v>46342</v>
      </c>
    </row>
    <row r="6" spans="1:9" ht="64.8" customHeight="1" x14ac:dyDescent="0.25">
      <c r="A6" s="36" t="s">
        <v>56</v>
      </c>
      <c r="B6" s="36"/>
      <c r="C6" s="36"/>
      <c r="D6" s="36"/>
      <c r="E6" s="36"/>
      <c r="F6" s="36"/>
      <c r="G6" s="36"/>
    </row>
    <row r="7" spans="1:9" ht="72.599999999999994" customHeight="1" thickBot="1" x14ac:dyDescent="0.3">
      <c r="A7" s="3"/>
      <c r="B7" s="29" t="s">
        <v>8</v>
      </c>
      <c r="C7" s="30"/>
      <c r="D7" s="30"/>
      <c r="E7" s="30"/>
      <c r="F7" s="40" t="s">
        <v>55</v>
      </c>
      <c r="G7" s="40"/>
      <c r="H7" s="40"/>
      <c r="I7" s="13"/>
    </row>
    <row r="8" spans="1:9" ht="30" hidden="1" customHeight="1" x14ac:dyDescent="0.25">
      <c r="A8" s="3"/>
      <c r="B8" s="7" t="s">
        <v>4</v>
      </c>
      <c r="C8" s="8">
        <v>1005075</v>
      </c>
      <c r="D8" s="12"/>
      <c r="E8" s="12" t="s">
        <v>1</v>
      </c>
      <c r="F8" s="12">
        <v>0.16</v>
      </c>
      <c r="G8" s="3"/>
    </row>
    <row r="9" spans="1:9" ht="30" customHeight="1" thickBot="1" x14ac:dyDescent="0.3">
      <c r="A9" s="3"/>
      <c r="B9" s="14" t="s">
        <v>9</v>
      </c>
      <c r="C9" s="15" t="s">
        <v>10</v>
      </c>
      <c r="D9" s="15" t="s">
        <v>11</v>
      </c>
      <c r="E9" s="15" t="s">
        <v>12</v>
      </c>
      <c r="F9" s="15" t="s">
        <v>13</v>
      </c>
      <c r="G9" s="3"/>
    </row>
    <row r="10" spans="1:9" ht="28.2" customHeight="1" thickBot="1" x14ac:dyDescent="0.3">
      <c r="A10" s="3"/>
      <c r="B10" s="37" t="s">
        <v>52</v>
      </c>
      <c r="C10" s="38"/>
      <c r="D10" s="38"/>
      <c r="E10" s="38"/>
      <c r="F10" s="39"/>
      <c r="G10" s="9"/>
      <c r="H10" s="1"/>
    </row>
    <row r="11" spans="1:9" ht="51.6" customHeight="1" thickBot="1" x14ac:dyDescent="0.35">
      <c r="A11" s="3"/>
      <c r="B11" s="18" t="s">
        <v>14</v>
      </c>
      <c r="C11" s="17" t="s">
        <v>15</v>
      </c>
      <c r="D11" s="19">
        <v>60</v>
      </c>
      <c r="E11" s="19">
        <v>30000</v>
      </c>
      <c r="F11" s="19">
        <f>D11*E11</f>
        <v>1800000</v>
      </c>
      <c r="G11" s="10"/>
      <c r="H11" s="2"/>
    </row>
    <row r="12" spans="1:9" ht="55.8" customHeight="1" thickBot="1" x14ac:dyDescent="0.3">
      <c r="A12" s="3"/>
      <c r="B12" s="18" t="s">
        <v>16</v>
      </c>
      <c r="C12" s="17" t="s">
        <v>15</v>
      </c>
      <c r="D12" s="19">
        <v>40</v>
      </c>
      <c r="E12" s="19">
        <v>25000</v>
      </c>
      <c r="F12" s="19">
        <f t="shared" ref="F12:F13" si="0">D12*E12</f>
        <v>1000000</v>
      </c>
      <c r="G12" s="3"/>
    </row>
    <row r="13" spans="1:9" ht="57.6" customHeight="1" thickBot="1" x14ac:dyDescent="0.3">
      <c r="A13" s="3"/>
      <c r="B13" s="18" t="s">
        <v>17</v>
      </c>
      <c r="C13" s="17" t="s">
        <v>15</v>
      </c>
      <c r="D13" s="19">
        <v>50</v>
      </c>
      <c r="E13" s="19">
        <v>12000</v>
      </c>
      <c r="F13" s="19">
        <f t="shared" si="0"/>
        <v>600000</v>
      </c>
      <c r="G13" s="3"/>
    </row>
    <row r="14" spans="1:9" s="11" customFormat="1" ht="30" customHeight="1" thickBot="1" x14ac:dyDescent="0.3">
      <c r="B14" s="45" t="s">
        <v>18</v>
      </c>
      <c r="C14" s="46"/>
      <c r="D14" s="46"/>
      <c r="E14" s="47"/>
      <c r="F14" s="20">
        <f>SUM(F11:F13)</f>
        <v>3400000</v>
      </c>
    </row>
    <row r="15" spans="1:9" s="11" customFormat="1" ht="30" customHeight="1" thickBot="1" x14ac:dyDescent="0.3">
      <c r="B15" s="37" t="s">
        <v>53</v>
      </c>
      <c r="C15" s="38"/>
      <c r="D15" s="38"/>
      <c r="E15" s="38"/>
      <c r="F15" s="39"/>
    </row>
    <row r="16" spans="1:9" s="11" customFormat="1" ht="30" customHeight="1" thickBot="1" x14ac:dyDescent="0.3">
      <c r="B16" s="18" t="s">
        <v>14</v>
      </c>
      <c r="C16" s="17" t="s">
        <v>15</v>
      </c>
      <c r="D16" s="19">
        <v>80</v>
      </c>
      <c r="E16" s="19">
        <v>8000</v>
      </c>
      <c r="F16" s="19">
        <f>D16*E16</f>
        <v>640000</v>
      </c>
    </row>
    <row r="17" spans="2:6" s="11" customFormat="1" ht="30" customHeight="1" thickBot="1" x14ac:dyDescent="0.3">
      <c r="B17" s="18" t="s">
        <v>19</v>
      </c>
      <c r="C17" s="17" t="s">
        <v>15</v>
      </c>
      <c r="D17" s="19">
        <v>150</v>
      </c>
      <c r="E17" s="19">
        <v>9000</v>
      </c>
      <c r="F17" s="19">
        <f t="shared" ref="F17:F28" si="1">D17*E17</f>
        <v>1350000</v>
      </c>
    </row>
    <row r="18" spans="2:6" s="11" customFormat="1" ht="30" customHeight="1" thickBot="1" x14ac:dyDescent="0.3">
      <c r="B18" s="18" t="s">
        <v>20</v>
      </c>
      <c r="C18" s="17" t="s">
        <v>15</v>
      </c>
      <c r="D18" s="19">
        <v>200</v>
      </c>
      <c r="E18" s="19">
        <v>1500</v>
      </c>
      <c r="F18" s="19">
        <f t="shared" si="1"/>
        <v>300000</v>
      </c>
    </row>
    <row r="19" spans="2:6" s="11" customFormat="1" ht="30" customHeight="1" thickBot="1" x14ac:dyDescent="0.3">
      <c r="B19" s="18" t="s">
        <v>21</v>
      </c>
      <c r="C19" s="17" t="s">
        <v>15</v>
      </c>
      <c r="D19" s="19">
        <v>60</v>
      </c>
      <c r="E19" s="19">
        <v>10000</v>
      </c>
      <c r="F19" s="19">
        <f t="shared" si="1"/>
        <v>600000</v>
      </c>
    </row>
    <row r="20" spans="2:6" s="11" customFormat="1" ht="30" customHeight="1" thickBot="1" x14ac:dyDescent="0.3">
      <c r="B20" s="18" t="s">
        <v>22</v>
      </c>
      <c r="C20" s="17" t="s">
        <v>15</v>
      </c>
      <c r="D20" s="19">
        <v>40</v>
      </c>
      <c r="E20" s="19">
        <v>12000</v>
      </c>
      <c r="F20" s="19">
        <f t="shared" si="1"/>
        <v>480000</v>
      </c>
    </row>
    <row r="21" spans="2:6" s="11" customFormat="1" ht="30" customHeight="1" thickBot="1" x14ac:dyDescent="0.3">
      <c r="B21" s="18" t="s">
        <v>23</v>
      </c>
      <c r="C21" s="17" t="s">
        <v>24</v>
      </c>
      <c r="D21" s="19">
        <v>1</v>
      </c>
      <c r="E21" s="19">
        <v>150000</v>
      </c>
      <c r="F21" s="19">
        <f t="shared" si="1"/>
        <v>150000</v>
      </c>
    </row>
    <row r="22" spans="2:6" s="11" customFormat="1" ht="52.8" customHeight="1" thickBot="1" x14ac:dyDescent="0.3">
      <c r="B22" s="18" t="s">
        <v>25</v>
      </c>
      <c r="C22" s="17" t="s">
        <v>24</v>
      </c>
      <c r="D22" s="19">
        <v>200</v>
      </c>
      <c r="E22" s="19">
        <v>2500</v>
      </c>
      <c r="F22" s="19">
        <f t="shared" si="1"/>
        <v>500000</v>
      </c>
    </row>
    <row r="23" spans="2:6" s="11" customFormat="1" ht="52.2" customHeight="1" thickBot="1" x14ac:dyDescent="0.3">
      <c r="B23" s="18" t="s">
        <v>26</v>
      </c>
      <c r="C23" s="17" t="s">
        <v>24</v>
      </c>
      <c r="D23" s="19">
        <v>1</v>
      </c>
      <c r="E23" s="19">
        <v>300000</v>
      </c>
      <c r="F23" s="19">
        <f>D23*E23</f>
        <v>300000</v>
      </c>
    </row>
    <row r="24" spans="2:6" s="11" customFormat="1" ht="52.2" customHeight="1" thickBot="1" x14ac:dyDescent="0.3">
      <c r="B24" s="18" t="s">
        <v>27</v>
      </c>
      <c r="C24" s="17" t="s">
        <v>24</v>
      </c>
      <c r="D24" s="19">
        <v>1</v>
      </c>
      <c r="E24" s="19">
        <v>490000</v>
      </c>
      <c r="F24" s="19">
        <f t="shared" si="1"/>
        <v>490000</v>
      </c>
    </row>
    <row r="25" spans="2:6" s="11" customFormat="1" ht="56.4" customHeight="1" thickBot="1" x14ac:dyDescent="0.3">
      <c r="B25" s="18" t="s">
        <v>28</v>
      </c>
      <c r="C25" s="17" t="s">
        <v>24</v>
      </c>
      <c r="D25" s="19">
        <v>1</v>
      </c>
      <c r="E25" s="19">
        <v>590000</v>
      </c>
      <c r="F25" s="19">
        <f t="shared" si="1"/>
        <v>590000</v>
      </c>
    </row>
    <row r="26" spans="2:6" s="11" customFormat="1" ht="52.2" customHeight="1" thickBot="1" x14ac:dyDescent="0.3">
      <c r="B26" s="18" t="s">
        <v>29</v>
      </c>
      <c r="C26" s="17" t="s">
        <v>24</v>
      </c>
      <c r="D26" s="19">
        <v>1</v>
      </c>
      <c r="E26" s="19">
        <v>250000</v>
      </c>
      <c r="F26" s="19">
        <f t="shared" si="1"/>
        <v>250000</v>
      </c>
    </row>
    <row r="27" spans="2:6" s="11" customFormat="1" ht="30" customHeight="1" thickBot="1" x14ac:dyDescent="0.3">
      <c r="B27" s="18" t="s">
        <v>30</v>
      </c>
      <c r="C27" s="17" t="s">
        <v>24</v>
      </c>
      <c r="D27" s="19">
        <v>1</v>
      </c>
      <c r="E27" s="19">
        <v>300000</v>
      </c>
      <c r="F27" s="19">
        <f t="shared" si="1"/>
        <v>300000</v>
      </c>
    </row>
    <row r="28" spans="2:6" s="11" customFormat="1" ht="30" customHeight="1" thickBot="1" x14ac:dyDescent="0.3">
      <c r="B28" s="18" t="s">
        <v>31</v>
      </c>
      <c r="C28" s="17" t="s">
        <v>24</v>
      </c>
      <c r="D28" s="19">
        <v>1</v>
      </c>
      <c r="E28" s="19">
        <v>250000</v>
      </c>
      <c r="F28" s="19">
        <f t="shared" si="1"/>
        <v>250000</v>
      </c>
    </row>
    <row r="29" spans="2:6" s="11" customFormat="1" ht="30" customHeight="1" thickBot="1" x14ac:dyDescent="0.3">
      <c r="B29" s="37" t="s">
        <v>32</v>
      </c>
      <c r="C29" s="38"/>
      <c r="D29" s="38"/>
      <c r="E29" s="39"/>
      <c r="F29" s="21">
        <f>SUM(F16:F28)</f>
        <v>6200000</v>
      </c>
    </row>
    <row r="30" spans="2:6" s="11" customFormat="1" ht="30" customHeight="1" thickBot="1" x14ac:dyDescent="0.3">
      <c r="B30" s="22" t="s">
        <v>33</v>
      </c>
      <c r="C30" s="23"/>
      <c r="D30" s="23"/>
      <c r="E30" s="24"/>
      <c r="F30" s="20">
        <f>F29+F14</f>
        <v>9600000</v>
      </c>
    </row>
    <row r="31" spans="2:6" s="11" customFormat="1" ht="30" customHeight="1" x14ac:dyDescent="0.25">
      <c r="B31" s="48" t="s">
        <v>34</v>
      </c>
      <c r="C31" s="49"/>
      <c r="D31" s="49"/>
      <c r="E31" s="49"/>
      <c r="F31" s="50"/>
    </row>
    <row r="32" spans="2:6" s="11" customFormat="1" ht="28.8" customHeight="1" thickBot="1" x14ac:dyDescent="0.3">
      <c r="B32" s="51"/>
      <c r="C32" s="52"/>
      <c r="D32" s="52"/>
      <c r="E32" s="52"/>
      <c r="F32" s="53"/>
    </row>
    <row r="33" spans="2:6" s="11" customFormat="1" ht="51.6" customHeight="1" thickBot="1" x14ac:dyDescent="0.3">
      <c r="B33" s="18" t="s">
        <v>35</v>
      </c>
      <c r="C33" s="17" t="s">
        <v>15</v>
      </c>
      <c r="D33" s="19">
        <v>50</v>
      </c>
      <c r="E33" s="19">
        <v>10000</v>
      </c>
      <c r="F33" s="19">
        <f>D33*E33</f>
        <v>500000</v>
      </c>
    </row>
    <row r="34" spans="2:6" s="11" customFormat="1" ht="63.6" customHeight="1" thickBot="1" x14ac:dyDescent="0.3">
      <c r="B34" s="18" t="s">
        <v>36</v>
      </c>
      <c r="C34" s="17" t="s">
        <v>15</v>
      </c>
      <c r="D34" s="19">
        <v>200</v>
      </c>
      <c r="E34" s="19">
        <v>5000</v>
      </c>
      <c r="F34" s="19">
        <f>D34*E34</f>
        <v>1000000</v>
      </c>
    </row>
    <row r="35" spans="2:6" s="11" customFormat="1" ht="48" customHeight="1" thickBot="1" x14ac:dyDescent="0.3">
      <c r="B35" s="18" t="s">
        <v>37</v>
      </c>
      <c r="C35" s="17" t="s">
        <v>15</v>
      </c>
      <c r="D35" s="19">
        <v>60</v>
      </c>
      <c r="E35" s="19">
        <v>8000</v>
      </c>
      <c r="F35" s="19">
        <f t="shared" ref="F35:F41" si="2">D35*E35</f>
        <v>480000</v>
      </c>
    </row>
    <row r="36" spans="2:6" s="11" customFormat="1" ht="46.8" customHeight="1" thickBot="1" x14ac:dyDescent="0.3">
      <c r="B36" s="18" t="s">
        <v>38</v>
      </c>
      <c r="C36" s="17" t="s">
        <v>39</v>
      </c>
      <c r="D36" s="19">
        <v>50</v>
      </c>
      <c r="E36" s="19">
        <v>20000</v>
      </c>
      <c r="F36" s="19">
        <f t="shared" si="2"/>
        <v>1000000</v>
      </c>
    </row>
    <row r="37" spans="2:6" s="11" customFormat="1" ht="50.4" customHeight="1" thickBot="1" x14ac:dyDescent="0.3">
      <c r="B37" s="18" t="s">
        <v>40</v>
      </c>
      <c r="C37" s="17" t="s">
        <v>24</v>
      </c>
      <c r="D37" s="19">
        <v>1</v>
      </c>
      <c r="E37" s="19">
        <v>700000</v>
      </c>
      <c r="F37" s="19">
        <f t="shared" si="2"/>
        <v>700000</v>
      </c>
    </row>
    <row r="38" spans="2:6" s="11" customFormat="1" ht="30" customHeight="1" thickBot="1" x14ac:dyDescent="0.3">
      <c r="B38" s="18" t="s">
        <v>41</v>
      </c>
      <c r="C38" s="17" t="s">
        <v>10</v>
      </c>
      <c r="D38" s="19">
        <v>3</v>
      </c>
      <c r="E38" s="19">
        <v>100000</v>
      </c>
      <c r="F38" s="19">
        <f t="shared" si="2"/>
        <v>300000</v>
      </c>
    </row>
    <row r="39" spans="2:6" s="11" customFormat="1" ht="30" customHeight="1" thickBot="1" x14ac:dyDescent="0.3">
      <c r="B39" s="18" t="s">
        <v>42</v>
      </c>
      <c r="C39" s="17" t="s">
        <v>10</v>
      </c>
      <c r="D39" s="19">
        <v>2</v>
      </c>
      <c r="E39" s="19">
        <v>200000</v>
      </c>
      <c r="F39" s="19">
        <f t="shared" si="2"/>
        <v>400000</v>
      </c>
    </row>
    <row r="40" spans="2:6" s="11" customFormat="1" ht="45" customHeight="1" thickBot="1" x14ac:dyDescent="0.3">
      <c r="B40" s="18" t="s">
        <v>43</v>
      </c>
      <c r="C40" s="17" t="s">
        <v>24</v>
      </c>
      <c r="D40" s="19">
        <v>1</v>
      </c>
      <c r="E40" s="19">
        <v>300000</v>
      </c>
      <c r="F40" s="19">
        <f t="shared" si="2"/>
        <v>300000</v>
      </c>
    </row>
    <row r="41" spans="2:6" s="11" customFormat="1" ht="44.4" customHeight="1" thickBot="1" x14ac:dyDescent="0.3">
      <c r="B41" s="18" t="s">
        <v>44</v>
      </c>
      <c r="C41" s="17" t="s">
        <v>24</v>
      </c>
      <c r="D41" s="19">
        <v>1</v>
      </c>
      <c r="E41" s="19">
        <v>420000</v>
      </c>
      <c r="F41" s="19">
        <f t="shared" si="2"/>
        <v>420000</v>
      </c>
    </row>
    <row r="42" spans="2:6" s="11" customFormat="1" ht="43.8" customHeight="1" thickBot="1" x14ac:dyDescent="0.3">
      <c r="B42" s="18" t="s">
        <v>45</v>
      </c>
      <c r="C42" s="17" t="s">
        <v>24</v>
      </c>
      <c r="D42" s="19">
        <v>1</v>
      </c>
      <c r="E42" s="19">
        <v>100000</v>
      </c>
      <c r="F42" s="19">
        <f>D42*E42</f>
        <v>100000</v>
      </c>
    </row>
    <row r="43" spans="2:6" s="11" customFormat="1" ht="30" customHeight="1" thickBot="1" x14ac:dyDescent="0.3">
      <c r="B43" s="18" t="s">
        <v>46</v>
      </c>
      <c r="C43" s="17" t="s">
        <v>24</v>
      </c>
      <c r="D43" s="19">
        <v>1</v>
      </c>
      <c r="E43" s="19">
        <v>200000</v>
      </c>
      <c r="F43" s="19">
        <f>D43*E43</f>
        <v>200000</v>
      </c>
    </row>
    <row r="44" spans="2:6" s="11" customFormat="1" ht="30" customHeight="1" thickBot="1" x14ac:dyDescent="0.3">
      <c r="B44" s="37" t="s">
        <v>47</v>
      </c>
      <c r="C44" s="38"/>
      <c r="D44" s="38"/>
      <c r="E44" s="39"/>
      <c r="F44" s="25">
        <f>SUM(F33:F43)</f>
        <v>5400000</v>
      </c>
    </row>
    <row r="45" spans="2:6" s="11" customFormat="1" ht="30" customHeight="1" thickBot="1" x14ac:dyDescent="0.3">
      <c r="B45" s="16" t="s">
        <v>48</v>
      </c>
      <c r="C45" s="17"/>
      <c r="D45" s="17"/>
      <c r="E45" s="17"/>
      <c r="F45" s="20">
        <f>F30+F44</f>
        <v>15000000</v>
      </c>
    </row>
    <row r="46" spans="2:6" s="11" customFormat="1" ht="30" customHeight="1" thickBot="1" x14ac:dyDescent="0.3">
      <c r="B46" s="18" t="s">
        <v>49</v>
      </c>
      <c r="C46" s="17"/>
      <c r="D46" s="17"/>
      <c r="E46" s="17"/>
      <c r="F46" s="19">
        <f>F45*0.16</f>
        <v>2400000</v>
      </c>
    </row>
    <row r="47" spans="2:6" s="11" customFormat="1" ht="30" customHeight="1" thickBot="1" x14ac:dyDescent="0.3">
      <c r="B47" s="18" t="s">
        <v>50</v>
      </c>
      <c r="C47" s="17"/>
      <c r="D47" s="17"/>
      <c r="E47" s="17"/>
      <c r="F47" s="19">
        <f>F45*0.04</f>
        <v>600000</v>
      </c>
    </row>
    <row r="48" spans="2:6" s="11" customFormat="1" ht="30" customHeight="1" thickBot="1" x14ac:dyDescent="0.3">
      <c r="B48" s="16" t="s">
        <v>51</v>
      </c>
      <c r="C48" s="17"/>
      <c r="D48" s="17"/>
      <c r="E48" s="17"/>
      <c r="F48" s="20">
        <f>SUM(F45:F47)</f>
        <v>18000000</v>
      </c>
    </row>
    <row r="49" spans="2:5" s="11" customFormat="1" ht="30" customHeight="1" thickBot="1" x14ac:dyDescent="0.3"/>
    <row r="50" spans="2:5" s="11" customFormat="1" ht="30" customHeight="1" x14ac:dyDescent="0.25">
      <c r="B50" s="41" t="s">
        <v>6</v>
      </c>
      <c r="C50" s="42"/>
      <c r="D50" s="42"/>
      <c r="E50" s="43"/>
    </row>
    <row r="51" spans="2:5" s="11" customFormat="1" ht="30" customHeight="1" x14ac:dyDescent="0.25">
      <c r="B51" s="44" t="s">
        <v>58</v>
      </c>
      <c r="C51" s="30"/>
      <c r="D51" s="30"/>
      <c r="E51" s="32"/>
    </row>
    <row r="52" spans="2:5" s="11" customFormat="1" ht="30" customHeight="1" x14ac:dyDescent="0.25">
      <c r="B52" s="31" t="s">
        <v>57</v>
      </c>
      <c r="C52" s="30"/>
      <c r="D52" s="30"/>
      <c r="E52" s="32"/>
    </row>
    <row r="53" spans="2:5" s="11" customFormat="1" ht="30" customHeight="1" x14ac:dyDescent="0.25">
      <c r="B53" s="31" t="s">
        <v>7</v>
      </c>
      <c r="C53" s="30"/>
      <c r="D53" s="30"/>
      <c r="E53" s="32"/>
    </row>
    <row r="54" spans="2:5" s="11" customFormat="1" ht="106.8" customHeight="1" thickBot="1" x14ac:dyDescent="0.3">
      <c r="B54" s="33" t="s">
        <v>59</v>
      </c>
      <c r="C54" s="34"/>
      <c r="D54" s="34"/>
      <c r="E54" s="35"/>
    </row>
    <row r="55" spans="2:5" s="11" customFormat="1" ht="30" customHeight="1" x14ac:dyDescent="0.25"/>
    <row r="56" spans="2:5" s="11" customFormat="1" ht="30" customHeight="1" x14ac:dyDescent="0.25"/>
    <row r="57" spans="2:5" s="11" customFormat="1" ht="30" customHeight="1" x14ac:dyDescent="0.25"/>
    <row r="58" spans="2:5" s="11" customFormat="1" ht="30" customHeight="1" x14ac:dyDescent="0.25"/>
    <row r="59" spans="2:5" s="11" customFormat="1" ht="30" customHeight="1" x14ac:dyDescent="0.25"/>
    <row r="60" spans="2:5" s="11" customFormat="1" ht="30" customHeight="1" x14ac:dyDescent="0.25"/>
    <row r="61" spans="2:5" s="11" customFormat="1" ht="30" customHeight="1" x14ac:dyDescent="0.25"/>
    <row r="62" spans="2:5" s="11" customFormat="1" ht="30" customHeight="1" x14ac:dyDescent="0.25"/>
    <row r="63" spans="2:5" s="11" customFormat="1" ht="30" customHeight="1" x14ac:dyDescent="0.25"/>
    <row r="64" spans="2:5" s="11" customFormat="1" ht="30" customHeight="1" x14ac:dyDescent="0.25"/>
    <row r="65" s="11" customFormat="1" ht="30" customHeight="1" x14ac:dyDescent="0.25"/>
    <row r="66" s="11" customFormat="1" ht="30" customHeight="1" x14ac:dyDescent="0.25"/>
    <row r="67" s="11" customFormat="1" ht="30" customHeight="1" x14ac:dyDescent="0.25"/>
    <row r="68" s="11" customFormat="1" ht="30" customHeight="1" x14ac:dyDescent="0.25"/>
    <row r="69" s="11" customFormat="1" ht="30" customHeight="1" x14ac:dyDescent="0.25"/>
    <row r="70" s="11" customFormat="1" ht="30" customHeight="1" x14ac:dyDescent="0.25"/>
    <row r="71" s="11" customFormat="1" ht="30" customHeight="1" x14ac:dyDescent="0.25"/>
    <row r="72" s="11" customFormat="1" ht="30" customHeight="1" x14ac:dyDescent="0.25"/>
    <row r="73" s="11" customFormat="1" ht="30" customHeight="1" x14ac:dyDescent="0.25"/>
    <row r="74" s="11" customFormat="1" ht="30" customHeight="1" x14ac:dyDescent="0.25"/>
    <row r="75" s="11" customFormat="1" ht="30" customHeight="1" x14ac:dyDescent="0.25"/>
    <row r="76" s="11" customFormat="1" ht="30" customHeight="1" x14ac:dyDescent="0.25"/>
  </sheetData>
  <dataConsolidate/>
  <mergeCells count="17">
    <mergeCell ref="B53:E53"/>
    <mergeCell ref="B54:E54"/>
    <mergeCell ref="A6:G6"/>
    <mergeCell ref="B44:E44"/>
    <mergeCell ref="B10:F10"/>
    <mergeCell ref="F7:H7"/>
    <mergeCell ref="B50:E50"/>
    <mergeCell ref="B51:E51"/>
    <mergeCell ref="B14:E14"/>
    <mergeCell ref="B15:F15"/>
    <mergeCell ref="B29:E29"/>
    <mergeCell ref="B31:F32"/>
    <mergeCell ref="B1:E1"/>
    <mergeCell ref="B2:E2"/>
    <mergeCell ref="B7:E7"/>
    <mergeCell ref="B3:E4"/>
    <mergeCell ref="B52:E52"/>
  </mergeCells>
  <phoneticPr fontId="2" type="noConversion"/>
  <dataValidations xWindow="108" yWindow="336" count="18">
    <dataValidation allowBlank="1" showInputMessage="1" showErrorMessage="1" prompt="Entrez le nom du client, le nom de la société, l’adresse postale et le numéro de téléphone dans les cellules ci-dessous, de la cellule B8 à la cellule B12. La date d’expiration du devis dans la cellule G7 et le nom de l’auteur du devis dans la cellule G8" sqref="B7:C7" xr:uid="{00000000-0002-0000-0000-000005000000}"/>
    <dataValidation allowBlank="1" showInputMessage="1" showErrorMessage="1" prompt="Entrer la date du devis dans cette cellule" sqref="G1" xr:uid="{00000000-0002-0000-0000-00002B000000}"/>
    <dataValidation allowBlank="1" showInputMessage="1" showErrorMessage="1" prompt="Entrez la date du devis dans la cellule de droite" sqref="F1" xr:uid="{00000000-0002-0000-0000-00002D000000}"/>
    <dataValidation allowBlank="1" showInputMessage="1" showErrorMessage="1" prompt="Entrez le numéro du devis dans la cellule de droite" sqref="F2" xr:uid="{00000000-0002-0000-0000-00002E000000}"/>
    <dataValidation allowBlank="1" showInputMessage="1" showErrorMessage="1" prompt="Entrez le numéro du devis dans cette cellule" sqref="G2" xr:uid="{00000000-0002-0000-0000-00002F000000}"/>
    <dataValidation allowBlank="1" showInputMessage="1" showErrorMessage="1" prompt="Entrez le slogan de la société dans cette cellule et l’adresse de la société dans les cellules ci-dessous, de la cellule B4 à la cellule B6" sqref="B1:E1" xr:uid="{00000000-0002-0000-0000-000001000000}"/>
    <dataValidation allowBlank="1" showInputMessage="1" showErrorMessage="1" prompt="Entrez l’adresse postale de la société dans cette cellule" sqref="B2:E2" xr:uid="{00000000-0002-0000-0000-000002000000}"/>
    <dataValidation allowBlank="1" showInputMessage="1" showErrorMessage="1" prompt="Entrez le code postal et la ville de la société dans cette cellule" sqref="B3:E3" xr:uid="{00000000-0002-0000-0000-000003000000}"/>
    <dataValidation allowBlank="1" showInputMessage="1" showErrorMessage="1" prompt="Ajoutez le nom, le numéro de téléphone et l’adresse e-mail du contact de la société dans cette cellule" sqref="G10:H10" xr:uid="{00000000-0002-0000-0000-00001F000000}"/>
    <dataValidation allowBlank="1" showInputMessage="1" showErrorMessage="1" prompt="Entrez le taux de TVA dans cette cellule" sqref="F8" xr:uid="{F65FCB7D-712C-42ED-ADF2-F4F78E9C507F}"/>
    <dataValidation allowBlank="1" showInputMessage="1" showErrorMessage="1" prompt="Entrez le taux de TVA dans la cellule à droite." sqref="E8:F8" xr:uid="{5522FD39-0F12-4BD3-9A3D-2FB168EF0842}"/>
    <dataValidation allowBlank="1" showInputMessage="1" showErrorMessage="1" prompt="Le montant de taxe de vente est calculé automatiquement dans cette cellule." sqref="F9" xr:uid="{CED88BBC-EFE8-4687-9623-D5F1DBDFB662}"/>
    <dataValidation allowBlank="1" showInputMessage="1" showErrorMessage="1" prompt="Le total dû est calculé automatiquement dans cette cellule" sqref="F11" xr:uid="{775E72FA-35AF-411B-AF62-D62F786F8584}"/>
    <dataValidation allowBlank="1" showInputMessage="1" showErrorMessage="1" prompt="Le total dû est calculé automatiquement dans la cellule à droite" sqref="F11" xr:uid="{C5AB7A68-9D7B-4592-B3A8-91B0394D59DE}"/>
    <dataValidation allowBlank="1" showInputMessage="1" showErrorMessage="1" prompt="Le montant de taxe de vente est calculé automatiquement dans la cellule à droite." sqref="F9" xr:uid="{B745C53C-4A45-4F83-9738-679E36AB1F9D}"/>
    <dataValidation allowBlank="1" showInputMessage="1" showErrorMessage="1" prompt="Entrez la référence client dans la cellule de droite" sqref="F4:F5 F7" xr:uid="{00000000-0002-0000-0000-00002C000000}"/>
    <dataValidation allowBlank="1" showInputMessage="1" showErrorMessage="1" prompt="Entrez la référence client dans cette cellule" sqref="G5 G3:G4" xr:uid="{00000000-0002-0000-0000-000030000000}"/>
    <dataValidation allowBlank="1" showInputMessage="1" showErrorMessage="1" prompt="Entrez le nom de la société dans cette cellule et le slogan dans la cellule ci-dessous. Le titre du devis figure dans la cellule de droite" sqref="A6" xr:uid="{00000000-0002-0000-0000-000000000000}"/>
  </dataValidations>
  <printOptions horizontalCentered="1"/>
  <pageMargins left="0.5" right="0.5" top="0.5" bottom="0.5" header="0.5" footer="0.5"/>
  <pageSetup paperSize="11" scale="50" fitToHeight="0" orientation="portrait" r:id="rId1"/>
  <headerFooter differentFirst="1">
    <oddFooter>&amp;CPage &amp;P of &amp;N</oddFooter>
  </headerFooter>
  <rowBreaks count="3" manualBreakCount="3">
    <brk id="14" max="16383" man="1"/>
    <brk id="30" max="16383" man="1"/>
    <brk id="54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4" ma:contentTypeDescription="Create a new document." ma:contentTypeScope="" ma:versionID="2d714a3296df14eba7a100bb665443ca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49549bf45bfbbfb6cffed527380e77e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DEF072-2ED4-4228-913D-9124C05ABB99}">
  <ds:schemaRefs>
    <ds:schemaRef ds:uri="16c05727-aa75-4e4a-9b5f-8a80a1165891"/>
    <ds:schemaRef ds:uri="http://schemas.microsoft.com/sharepoint/v3"/>
    <ds:schemaRef ds:uri="http://schemas.microsoft.com/office/2006/metadata/properties"/>
    <ds:schemaRef ds:uri="71af3243-3dd4-4a8d-8c0d-dd76da1f02a5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230e9df3-be65-4c73-a93b-d1236ebd677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CDBBB91-7A83-4350-906B-143E772261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D0C921-16B2-40A2-A24B-7E090F2FB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TM16400571</Templat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Devis</vt:lpstr>
      <vt:lpstr>ZoneTitreColonne1..B11.1</vt:lpstr>
      <vt:lpstr>ZoneTitreLigne1..G4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2022-02-14T05:06:15Z</dcterms:created>
  <dcterms:modified xsi:type="dcterms:W3CDTF">2026-08-18T17:52:28Z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