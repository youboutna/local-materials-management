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amp; En-tête" sheetId="1" state="visible" r:id="rId1"/>
    <sheet xmlns:r="http://schemas.openxmlformats.org/officeDocument/2006/relationships" name="Détail des Postes" sheetId="2" state="visible" r:id="rId2"/>
    <sheet xmlns:r="http://schemas.openxmlformats.org/officeDocument/2006/relationships" name="Conditions &amp; Validation" sheetId="3" state="visible" r:id="rId3"/>
  </sheets>
  <definedNames/>
  <calcPr calcId="124519" fullCalcOnLoad="1"/>
</workbook>
</file>

<file path=xl/styles.xml><?xml version="1.0" encoding="utf-8"?>
<styleSheet xmlns="http://schemas.openxmlformats.org/spreadsheetml/2006/main">
  <numFmts count="1">
    <numFmt numFmtId="164" formatCode="#,##0.00 &quot;MRU&quot;"/>
  </numFmts>
  <fonts count="5">
    <font>
      <name val="Calibri"/>
      <family val="2"/>
      <color theme="1"/>
      <sz val="11"/>
      <scheme val="minor"/>
    </font>
    <font>
      <name val="Arial"/>
      <b val="1"/>
      <color rgb="001F4E79"/>
      <sz val="14"/>
    </font>
    <font>
      <name val="Arial"/>
      <b val="1"/>
      <color rgb="00FFFFFF"/>
      <sz val="11"/>
    </font>
    <font>
      <name val="Arial"/>
      <b val="1"/>
      <sz val="10"/>
    </font>
    <font>
      <name val="Arial"/>
      <sz val="10"/>
    </font>
  </fonts>
  <fills count="6">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pivotButton="0" quotePrefix="0" xfId="0"/>
    <xf numFmtId="0" fontId="3" fillId="0" borderId="1" pivotButton="0" quotePrefix="0" xfId="0"/>
    <xf numFmtId="0" fontId="4" fillId="0" borderId="1" pivotButton="0" quotePrefix="0" xfId="0"/>
    <xf numFmtId="164" fontId="4" fillId="0" borderId="1" pivotButton="0" quotePrefix="0" xfId="0"/>
    <xf numFmtId="0" fontId="2" fillId="2" borderId="0" applyAlignment="1" pivotButton="0" quotePrefix="0" xfId="0">
      <alignment horizontal="center" vertical="center" wrapText="1"/>
    </xf>
    <xf numFmtId="0" fontId="4" fillId="3" borderId="1" applyAlignment="1" pivotButton="0" quotePrefix="0" xfId="0">
      <alignment horizontal="center"/>
    </xf>
    <xf numFmtId="0" fontId="4" fillId="3" borderId="1" applyAlignment="1" pivotButton="0" quotePrefix="0" xfId="0">
      <alignment horizontal="left"/>
    </xf>
    <xf numFmtId="3" fontId="4" fillId="3" borderId="1" applyAlignment="1" pivotButton="0" quotePrefix="0" xfId="0">
      <alignment horizontal="right"/>
    </xf>
    <xf numFmtId="4" fontId="4" fillId="3" borderId="1" applyAlignment="1" pivotButton="0" quotePrefix="0" xfId="0">
      <alignment horizontal="right"/>
    </xf>
    <xf numFmtId="9" fontId="4" fillId="3" borderId="1" applyAlignment="1" pivotButton="0" quotePrefix="0" xfId="0">
      <alignment horizontal="center"/>
    </xf>
    <xf numFmtId="0" fontId="4" fillId="4" borderId="1" applyAlignment="1" pivotButton="0" quotePrefix="0" xfId="0">
      <alignment horizontal="center"/>
    </xf>
    <xf numFmtId="0" fontId="4" fillId="4" borderId="1" applyAlignment="1" pivotButton="0" quotePrefix="0" xfId="0">
      <alignment horizontal="left"/>
    </xf>
    <xf numFmtId="3" fontId="4" fillId="4" borderId="1" applyAlignment="1" pivotButton="0" quotePrefix="0" xfId="0">
      <alignment horizontal="right"/>
    </xf>
    <xf numFmtId="4" fontId="4" fillId="4" borderId="1" applyAlignment="1" pivotButton="0" quotePrefix="0" xfId="0">
      <alignment horizontal="right"/>
    </xf>
    <xf numFmtId="9" fontId="4" fillId="4" borderId="1" applyAlignment="1" pivotButton="0" quotePrefix="0" xfId="0">
      <alignment horizontal="center"/>
    </xf>
    <xf numFmtId="0" fontId="3" fillId="5" borderId="1" applyAlignment="1" pivotButton="0" quotePrefix="0" xfId="0">
      <alignment horizontal="right"/>
    </xf>
    <xf numFmtId="0" fontId="0" fillId="5" borderId="1" pivotButton="0" quotePrefix="0" xfId="0"/>
    <xf numFmtId="4" fontId="3" fillId="5"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showGridLines="1" workbookViewId="0">
      <selection activeCell="A1" sqref="A1"/>
    </sheetView>
  </sheetViews>
  <sheetFormatPr baseColWidth="8" defaultRowHeight="15"/>
  <cols>
    <col width="30" customWidth="1" min="1" max="1"/>
    <col width="75" customWidth="1" min="2" max="2"/>
    <col width="12" customWidth="1" min="3" max="3"/>
    <col width="12" customWidth="1" min="4" max="4"/>
  </cols>
  <sheetData>
    <row r="1">
      <c r="A1" s="1" t="inlineStr">
        <is>
          <t>DQE (Expression de Besoin) — PPGASDL ASSABA LOT 1</t>
        </is>
      </c>
    </row>
    <row r="2"/>
    <row r="3">
      <c r="A3" s="2" t="inlineStr">
        <is>
          <t>1. EN-TÊTE (Factur-X / EN 16931)</t>
        </is>
      </c>
    </row>
    <row r="4">
      <c r="A4" s="3" t="inlineStr">
        <is>
          <t>Référence DQE</t>
        </is>
      </c>
      <c r="B4" s="4" t="inlineStr">
        <is>
          <t>DQE-2026-0826-PPGASDL1</t>
        </is>
      </c>
    </row>
    <row r="5">
      <c r="A5" s="3" t="inlineStr">
        <is>
          <t>TypeCode</t>
        </is>
      </c>
      <c r="B5" s="4" t="n">
        <v>310</v>
      </c>
    </row>
    <row r="6">
      <c r="A6" s="3" t="inlineStr">
        <is>
          <t>Date d'émission</t>
        </is>
      </c>
      <c r="B6" s="4" t="inlineStr">
        <is>
          <t>2026-08-26</t>
        </is>
      </c>
    </row>
    <row r="7">
      <c r="A7" s="3" t="inlineStr">
        <is>
          <t>Devise</t>
        </is>
      </c>
      <c r="B7" s="4" t="inlineStr">
        <is>
          <t>MRU</t>
        </is>
      </c>
    </row>
    <row r="8">
      <c r="A8" s="3" t="inlineStr">
        <is>
          <t>Validité de l'offre</t>
        </is>
      </c>
      <c r="B8" s="4" t="inlineStr">
        <is>
          <t>30 jours (jusqu'au 2026-09-25)</t>
        </is>
      </c>
    </row>
    <row r="9"/>
    <row r="10">
      <c r="A10" s="2" t="inlineStr">
        <is>
          <t>2. ACTEURS (Émetteur &amp; Destinataire)</t>
        </is>
      </c>
    </row>
    <row r="11">
      <c r="A11" s="3" t="inlineStr">
        <is>
          <t>Émetteur - Organisation</t>
        </is>
      </c>
      <c r="B11" s="4" t="inlineStr">
        <is>
          <t>Direction Générale de l'Électricité et des Énergies Renouvelables (DGEER)</t>
        </is>
      </c>
    </row>
    <row r="12">
      <c r="A12" s="3" t="inlineStr">
        <is>
          <t>Émetteur - NIF</t>
        </is>
      </c>
      <c r="B12" s="4" t="inlineStr">
        <is>
          <t>DGEER-MRU-987654</t>
        </is>
      </c>
    </row>
    <row r="13">
      <c r="A13" s="3" t="inlineStr">
        <is>
          <t>Émetteur - Adresse</t>
        </is>
      </c>
      <c r="B13" s="4" t="inlineStr">
        <is>
          <t>Carrefour SABAH, Nouakchott, Mauritanie</t>
        </is>
      </c>
    </row>
    <row r="14">
      <c r="A14" s="3" t="inlineStr">
        <is>
          <t>Destinataire - Organisation</t>
        </is>
      </c>
      <c r="B14" s="4" t="inlineStr">
        <is>
          <t>Ministère de l'Économie et des Finances (PPGASDL)</t>
        </is>
      </c>
    </row>
    <row r="15">
      <c r="A15" s="3" t="inlineStr">
        <is>
          <t>Destinataire - NIF</t>
        </is>
      </c>
      <c r="B15" s="4" t="inlineStr">
        <is>
          <t>MEF-MRU-456123</t>
        </is>
      </c>
    </row>
    <row r="16">
      <c r="A16" s="3" t="inlineStr">
        <is>
          <t>Destinataire - Adresse</t>
        </is>
      </c>
      <c r="B16" s="4" t="inlineStr">
        <is>
          <t>Nouakchott, Mauritanie</t>
        </is>
      </c>
    </row>
    <row r="17"/>
    <row r="18">
      <c r="A18" s="2" t="inlineStr">
        <is>
          <t>3. INFORMATIONS PROJET</t>
        </is>
      </c>
    </row>
    <row r="19">
      <c r="A19" s="3" t="inlineStr">
        <is>
          <t>Référence Projet</t>
        </is>
      </c>
      <c r="B19" s="4" t="inlineStr">
        <is>
          <t>0504/T/009/CPMP/EP-MI/DGEER/20</t>
        </is>
      </c>
    </row>
    <row r="20">
      <c r="A20" s="3" t="inlineStr">
        <is>
          <t>Titre du projet</t>
        </is>
      </c>
      <c r="B20" s="4" t="inlineStr">
        <is>
          <t>PPGASDL ASSABA LOT 1</t>
        </is>
      </c>
    </row>
    <row r="21">
      <c r="A21" s="3" t="inlineStr">
        <is>
          <t>Statut</t>
        </is>
      </c>
      <c r="B21" s="4" t="inlineStr">
        <is>
          <t>En cours</t>
        </is>
      </c>
    </row>
    <row r="22">
      <c r="A22" s="3" t="inlineStr">
        <is>
          <t>Budget total (MRU)</t>
        </is>
      </c>
      <c r="B22" s="5" t="n">
        <v>75389515.95</v>
      </c>
    </row>
    <row r="23">
      <c r="A23" s="3" t="inlineStr">
        <is>
          <t>Type de marché</t>
        </is>
      </c>
      <c r="B23" s="4" t="inlineStr">
        <is>
          <t>Marché public</t>
        </is>
      </c>
    </row>
    <row r="24">
      <c r="A24" s="3" t="inlineStr">
        <is>
          <t>Mode de sélection</t>
        </is>
      </c>
      <c r="B24" s="4" t="inlineStr">
        <is>
          <t>Appel d'offres ouvert</t>
        </is>
      </c>
    </row>
    <row r="25">
      <c r="A25" s="3" t="inlineStr">
        <is>
          <t>Description</t>
        </is>
      </c>
      <c r="B25" s="4" t="inlineStr">
        <is>
          <t>L'extension des réseaux de distribution et l'électrification des localités relevant de la Wilaya de l'Assaba dans le cadre du Programme Prioritaire de Généralisation de l'Accès aux Services nécessaires au Développement Local (PPGASDL-2025-2027) LOT N° 1.</t>
        </is>
      </c>
    </row>
  </sheetData>
  <mergeCells count="4">
    <mergeCell ref="A18:B18"/>
    <mergeCell ref="A1:D1"/>
    <mergeCell ref="A3:B3"/>
    <mergeCell ref="A10:B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18" customWidth="1" min="1" max="1"/>
    <col width="50" customWidth="1" min="2" max="2"/>
    <col width="18" customWidth="1" min="3" max="3"/>
    <col width="12" customWidth="1" min="4" max="4"/>
    <col width="18" customWidth="1" min="5" max="5"/>
    <col width="12" customWidth="1" min="6" max="6"/>
    <col width="12" customWidth="1" min="7" max="7"/>
    <col width="12" customWidth="1" min="8" max="8"/>
    <col width="17" customWidth="1" min="9" max="9"/>
  </cols>
  <sheetData>
    <row r="1">
      <c r="A1" s="1" t="inlineStr">
        <is>
          <t>DÉTAIL DES POSTES DU DQE</t>
        </is>
      </c>
    </row>
    <row r="2"/>
    <row r="3">
      <c r="A3" s="6" t="inlineStr">
        <is>
          <t>N°</t>
        </is>
      </c>
      <c r="B3" s="6" t="inlineStr">
        <is>
          <t>Désignation</t>
        </is>
      </c>
      <c r="C3" s="6" t="inlineStr">
        <is>
          <t>Régime fiscal</t>
        </is>
      </c>
      <c r="D3" s="6" t="inlineStr">
        <is>
          <t>Qté</t>
        </is>
      </c>
      <c r="E3" s="6" t="inlineStr">
        <is>
          <t>Unité</t>
        </is>
      </c>
      <c r="F3" s="6" t="inlineStr">
        <is>
          <t>PU (MRU)</t>
        </is>
      </c>
      <c r="G3" s="6" t="inlineStr">
        <is>
          <t>TVA (%)</t>
        </is>
      </c>
      <c r="H3" s="6" t="inlineStr">
        <is>
          <t>TVA (MRU)</t>
        </is>
      </c>
      <c r="I3" s="6" t="inlineStr">
        <is>
          <t>Total HT (MRU)</t>
        </is>
      </c>
    </row>
    <row r="4">
      <c r="A4" s="7" t="n">
        <v>1</v>
      </c>
      <c r="B4" s="8" t="inlineStr">
        <is>
          <t>Poteau béton 12m/200 daN</t>
        </is>
      </c>
      <c r="C4" s="7" t="inlineStr">
        <is>
          <t>Fourniture</t>
        </is>
      </c>
      <c r="D4" s="9" t="n">
        <v>150</v>
      </c>
      <c r="E4" s="7" t="inlineStr">
        <is>
          <t>Unité</t>
        </is>
      </c>
      <c r="F4" s="10" t="n">
        <v>45000</v>
      </c>
      <c r="G4" s="11" t="n">
        <v>0.05</v>
      </c>
      <c r="H4" s="10">
        <f>I4*G4</f>
        <v/>
      </c>
      <c r="I4" s="10">
        <f>D4*F4</f>
        <v/>
      </c>
    </row>
    <row r="5">
      <c r="A5" s="12" t="n">
        <v>2</v>
      </c>
      <c r="B5" s="13" t="inlineStr">
        <is>
          <t>Conducteur ACSR 148 mm²</t>
        </is>
      </c>
      <c r="C5" s="12" t="inlineStr">
        <is>
          <t>Fourniture</t>
        </is>
      </c>
      <c r="D5" s="14" t="n">
        <v>500</v>
      </c>
      <c r="E5" s="12" t="inlineStr">
        <is>
          <t>Mètre</t>
        </is>
      </c>
      <c r="F5" s="15" t="n">
        <v>1250</v>
      </c>
      <c r="G5" s="16" t="n">
        <v>0.05</v>
      </c>
      <c r="H5" s="15">
        <f>I5*G5</f>
        <v/>
      </c>
      <c r="I5" s="15">
        <f>D5*F5</f>
        <v/>
      </c>
    </row>
    <row r="6">
      <c r="A6" s="7" t="n">
        <v>3</v>
      </c>
      <c r="B6" s="8" t="inlineStr">
        <is>
          <t>Transformateur 100 kVA (H61)</t>
        </is>
      </c>
      <c r="C6" s="7" t="inlineStr">
        <is>
          <t>Fourniture</t>
        </is>
      </c>
      <c r="D6" s="9" t="n">
        <v>5</v>
      </c>
      <c r="E6" s="7" t="inlineStr">
        <is>
          <t>Unité</t>
        </is>
      </c>
      <c r="F6" s="10" t="n">
        <v>450000</v>
      </c>
      <c r="G6" s="11" t="n">
        <v>0.05</v>
      </c>
      <c r="H6" s="10">
        <f>I6*G6</f>
        <v/>
      </c>
      <c r="I6" s="10">
        <f>D6*F6</f>
        <v/>
      </c>
    </row>
    <row r="7">
      <c r="A7" s="12" t="n">
        <v>4</v>
      </c>
      <c r="B7" s="13" t="inlineStr">
        <is>
          <t>Câble U-1000 RO2V 4x150 mm²</t>
        </is>
      </c>
      <c r="C7" s="12" t="inlineStr">
        <is>
          <t>Fourniture</t>
        </is>
      </c>
      <c r="D7" s="14" t="n">
        <v>2000</v>
      </c>
      <c r="E7" s="12" t="inlineStr">
        <is>
          <t>Mètre</t>
        </is>
      </c>
      <c r="F7" s="15" t="n">
        <v>3200</v>
      </c>
      <c r="G7" s="16" t="n">
        <v>0.05</v>
      </c>
      <c r="H7" s="15">
        <f>I7*G7</f>
        <v/>
      </c>
      <c r="I7" s="15">
        <f>D7*F7</f>
        <v/>
      </c>
    </row>
    <row r="8">
      <c r="A8" s="7" t="n">
        <v>5</v>
      </c>
      <c r="B8" s="8" t="inlineStr">
        <is>
          <t>Main d'œuvre : Technicien Supérieur (Électrité)</t>
        </is>
      </c>
      <c r="C8" s="7" t="inlineStr">
        <is>
          <t>RH / Prestation</t>
        </is>
      </c>
      <c r="D8" s="9" t="n">
        <v>90</v>
      </c>
      <c r="E8" s="7" t="inlineStr">
        <is>
          <t>Homme/Jour (HJ)</t>
        </is>
      </c>
      <c r="F8" s="10" t="n">
        <v>12500</v>
      </c>
      <c r="G8" s="11" t="n">
        <v>0.05</v>
      </c>
      <c r="H8" s="10">
        <f>I8*G8</f>
        <v/>
      </c>
      <c r="I8" s="10">
        <f>D8*F8</f>
        <v/>
      </c>
    </row>
    <row r="9">
      <c r="A9" s="12" t="n">
        <v>6</v>
      </c>
      <c r="B9" s="13" t="inlineStr">
        <is>
          <t>Main d'œuvre : Chef d'équipe</t>
        </is>
      </c>
      <c r="C9" s="12" t="inlineStr">
        <is>
          <t>RH / Prestation</t>
        </is>
      </c>
      <c r="D9" s="14" t="n">
        <v>120</v>
      </c>
      <c r="E9" s="12" t="inlineStr">
        <is>
          <t>Homme/Jour (HJ)</t>
        </is>
      </c>
      <c r="F9" s="15" t="n">
        <v>8000</v>
      </c>
      <c r="G9" s="16" t="n">
        <v>0.05</v>
      </c>
      <c r="H9" s="15">
        <f>I9*G9</f>
        <v/>
      </c>
      <c r="I9" s="15">
        <f>D9*F9</f>
        <v/>
      </c>
    </row>
    <row r="10">
      <c r="A10" s="7" t="n">
        <v>7</v>
      </c>
      <c r="B10" s="8" t="inlineStr">
        <is>
          <t>Location grue mobile 30T (Forfait)</t>
        </is>
      </c>
      <c r="C10" s="7" t="inlineStr">
        <is>
          <t>Prestation</t>
        </is>
      </c>
      <c r="D10" s="9" t="n">
        <v>1</v>
      </c>
      <c r="E10" s="7" t="inlineStr">
        <is>
          <t>Forfait</t>
        </is>
      </c>
      <c r="F10" s="10" t="n">
        <v>850000</v>
      </c>
      <c r="G10" s="11" t="n">
        <v>0.05</v>
      </c>
      <c r="H10" s="10">
        <f>I10*G10</f>
        <v/>
      </c>
      <c r="I10" s="10">
        <f>D10*F10</f>
        <v/>
      </c>
    </row>
    <row r="11">
      <c r="A11" s="12" t="n">
        <v>8</v>
      </c>
      <c r="B11" s="13" t="inlineStr">
        <is>
          <t>Consultation Expert Géotechnique (Mission)</t>
        </is>
      </c>
      <c r="C11" s="12" t="inlineStr">
        <is>
          <t>RH / Prestation</t>
        </is>
      </c>
      <c r="D11" s="14" t="n">
        <v>1</v>
      </c>
      <c r="E11" s="12" t="inlineStr">
        <is>
          <t>Mois (Salaire)</t>
        </is>
      </c>
      <c r="F11" s="15" t="n">
        <v>1500000</v>
      </c>
      <c r="G11" s="16" t="n">
        <v>0.05</v>
      </c>
      <c r="H11" s="15">
        <f>I11*G11</f>
        <v/>
      </c>
      <c r="I11" s="15">
        <f>D11*F11</f>
        <v/>
      </c>
    </row>
    <row r="12">
      <c r="A12" s="7" t="n">
        <v>9</v>
      </c>
      <c r="B12" s="8" t="inlineStr">
        <is>
          <t>Fourniture et pose de supports HTA</t>
        </is>
      </c>
      <c r="C12" s="7" t="inlineStr">
        <is>
          <t>Travaux BTP</t>
        </is>
      </c>
      <c r="D12" s="9" t="n">
        <v>120</v>
      </c>
      <c r="E12" s="7" t="inlineStr">
        <is>
          <t>Unité</t>
        </is>
      </c>
      <c r="F12" s="10" t="n">
        <v>55000</v>
      </c>
      <c r="G12" s="11" t="n">
        <v>0.05</v>
      </c>
      <c r="H12" s="10">
        <f>I12*G12</f>
        <v/>
      </c>
      <c r="I12" s="10">
        <f>D12*F12</f>
        <v/>
      </c>
    </row>
    <row r="13">
      <c r="A13" s="12" t="n">
        <v>10</v>
      </c>
      <c r="B13" s="13" t="inlineStr">
        <is>
          <t>Terrassement et fouilles (Réseaux)</t>
        </is>
      </c>
      <c r="C13" s="12" t="inlineStr">
        <is>
          <t>Travaux BTP</t>
        </is>
      </c>
      <c r="D13" s="14" t="n">
        <v>3500</v>
      </c>
      <c r="E13" s="12" t="inlineStr">
        <is>
          <t>Mètre</t>
        </is>
      </c>
      <c r="F13" s="15" t="n">
        <v>2500</v>
      </c>
      <c r="G13" s="16" t="n">
        <v>0.05</v>
      </c>
      <c r="H13" s="15">
        <f>I13*G13</f>
        <v/>
      </c>
      <c r="I13" s="15">
        <f>D13*F13</f>
        <v/>
      </c>
    </row>
    <row r="14">
      <c r="A14" s="17" t="inlineStr">
        <is>
          <t>TOTAL HT</t>
        </is>
      </c>
      <c r="B14" s="18" t="n"/>
      <c r="C14" s="18" t="n"/>
      <c r="D14" s="18" t="n"/>
      <c r="E14" s="18" t="n"/>
      <c r="F14" s="18" t="n"/>
      <c r="G14" s="18" t="n"/>
      <c r="H14" s="18" t="n"/>
      <c r="I14" s="19">
        <f>SUM(I4:I13)</f>
        <v/>
      </c>
    </row>
    <row r="15">
      <c r="A15" s="17" t="inlineStr">
        <is>
          <t>TOTAL TVA (5%)</t>
        </is>
      </c>
      <c r="B15" s="18" t="n"/>
      <c r="C15" s="18" t="n"/>
      <c r="D15" s="18" t="n"/>
      <c r="E15" s="18" t="n"/>
      <c r="F15" s="18" t="n"/>
      <c r="G15" s="18" t="n"/>
      <c r="H15" s="18" t="n"/>
      <c r="I15" s="19">
        <f>SUM(H4:H13)</f>
        <v/>
      </c>
    </row>
    <row r="16">
      <c r="A16" s="17" t="inlineStr">
        <is>
          <t>TOTAL TTC (MRU)</t>
        </is>
      </c>
      <c r="B16" s="18" t="n"/>
      <c r="C16" s="18" t="n"/>
      <c r="D16" s="18" t="n"/>
      <c r="E16" s="18" t="n"/>
      <c r="F16" s="18" t="n"/>
      <c r="G16" s="18" t="n"/>
      <c r="H16" s="18" t="n"/>
      <c r="I16" s="19">
        <f>I14+I15</f>
        <v/>
      </c>
    </row>
  </sheetData>
  <mergeCells count="4">
    <mergeCell ref="A15:H15"/>
    <mergeCell ref="A16:H16"/>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30" customWidth="1" min="1" max="1"/>
    <col width="75" customWidth="1" min="2" max="2"/>
  </cols>
  <sheetData>
    <row r="1">
      <c r="A1" s="1" t="inlineStr">
        <is>
          <t>CONDITIONS GÉNÉRALES &amp; VALIDATION</t>
        </is>
      </c>
    </row>
    <row r="2"/>
    <row r="3">
      <c r="A3" s="2" t="inlineStr">
        <is>
          <t>CONDITIONS GÉNÉRALES (Factur-X / EN 16931)</t>
        </is>
      </c>
    </row>
    <row r="4">
      <c r="A4" s="3" t="inlineStr">
        <is>
          <t>Document</t>
        </is>
      </c>
      <c r="B4" s="4" t="inlineStr">
        <is>
          <t>Expression de besoin (DQE) — référence DQE-2026-0826-PPGASDL1, rattaché au projet « PPGASDL ASSABA LOT 1 ».</t>
        </is>
      </c>
    </row>
    <row r="5">
      <c r="A5" s="3" t="inlineStr">
        <is>
          <t>Validité</t>
        </is>
      </c>
      <c r="B5" s="4" t="inlineStr">
        <is>
          <t>30 jours à compter de la date d'émission.</t>
        </is>
      </c>
    </row>
    <row r="6">
      <c r="A6" s="3" t="inlineStr">
        <is>
          <t>Devise</t>
        </is>
      </c>
      <c r="B6" s="4" t="inlineStr">
        <is>
          <t>Montants exprimés en MRU (Ouguiya Mauritanienne), fermes et définitifs.</t>
        </is>
      </c>
    </row>
    <row r="7">
      <c r="A7" s="3" t="inlineStr">
        <is>
          <t>Fiscalité</t>
        </is>
      </c>
      <c r="B7" s="4" t="inlineStr">
        <is>
          <t>TVA 5,00 % appliquée. Retenue à la source calculée selon le régime de chaque poste.</t>
        </is>
      </c>
    </row>
    <row r="8">
      <c r="A8" s="3" t="inlineStr">
        <is>
          <t>Conformité</t>
        </is>
      </c>
      <c r="B8" s="4" t="inlineStr">
        <is>
          <t>Document conforme à la norme européenne EN 16931 (Factur-X) pour l'échange dématérialisé.</t>
        </is>
      </c>
    </row>
    <row r="9"/>
    <row r="10">
      <c r="A10" s="2" t="inlineStr">
        <is>
          <t>VALIDATION &amp; TRAÇABILITÉ</t>
        </is>
      </c>
    </row>
    <row r="11">
      <c r="A11" s="3" t="inlineStr">
        <is>
          <t>Référence de traçabilité</t>
        </is>
      </c>
      <c r="B11" s="4" t="inlineStr">
        <is>
          <t>DQE-2026-0826-PPGASDL1</t>
        </is>
      </c>
    </row>
    <row r="12">
      <c r="A12" s="3" t="inlineStr">
        <is>
          <t>Émetteur</t>
        </is>
      </c>
      <c r="B12" s="4" t="inlineStr">
        <is>
          <t>DGEER (Lot 1 - PPGASDL)</t>
        </is>
      </c>
    </row>
    <row r="13">
      <c r="A13" s="3" t="inlineStr">
        <is>
          <t>Signature requise</t>
        </is>
      </c>
      <c r="B13" s="4" t="inlineStr">
        <is>
          <t>En attente de signature électronique.</t>
        </is>
      </c>
    </row>
  </sheetData>
  <mergeCells count="3">
    <mergeCell ref="A3:B3"/>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2026-08-26T12:39:16Z</dcterms:created>
  <dcterms:modified xmlns:dcterms="http://purl.org/dc/terms/" xmlns:xsi="http://www.w3.org/2001/XMLSchema-instance" xsi:type="dcterms:W3CDTF">2026-08-26T12:39:16Z</dcterms:modified>
</cp:coreProperties>
</file>